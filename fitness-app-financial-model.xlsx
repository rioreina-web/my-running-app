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k model" sheetId="1" state="visible" r:id="rId3"/>
    <sheet name="Scale — when to hire" sheetId="2" state="visible" r:id="rId4"/>
    <sheet name="Pricing mode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<sst xmlns="http://schemas.openxmlformats.org/spreadsheetml/2006/main" count="95" uniqueCount="85">
  <si>
    <t xml:space="preserve">Fitness app — unit economics at 20,000 users</t>
  </si>
  <si>
    <t xml:space="preserve">Blue = your inputs (change these). Black = calculated.</t>
  </si>
  <si>
    <t xml:space="preserve">INPUTS  —  AUDIENCE &amp; PRICING</t>
  </si>
  <si>
    <t xml:space="preserve">Total registered users</t>
  </si>
  <si>
    <t xml:space="preserve">Active users (% of total)</t>
  </si>
  <si>
    <t xml:space="preserve">share who actually use it</t>
  </si>
  <si>
    <t xml:space="preserve">Paid conversion (% of total)</t>
  </si>
  <si>
    <t xml:space="preserve">fitness freemium ~2-3%; sharp niche 5-8%</t>
  </si>
  <si>
    <t xml:space="preserve">Gross revenue per paying user / yr</t>
  </si>
  <si>
    <t xml:space="preserve">~$100-120 after annual discounts</t>
  </si>
  <si>
    <t xml:space="preserve">App store fee %</t>
  </si>
  <si>
    <t xml:space="preserve">Apple Small Business (&lt;$1M)</t>
  </si>
  <si>
    <t xml:space="preserve">INPUTS  —  COSTS</t>
  </si>
  <si>
    <t xml:space="preserve">AI / LLM + voice cost per active user / yr</t>
  </si>
  <si>
    <t xml:space="preserve">the swing factor; cache to lower</t>
  </si>
  <si>
    <t xml:space="preserve">Infra &amp; hosting / yr</t>
  </si>
  <si>
    <t xml:space="preserve">Supabase, ML service, etc.</t>
  </si>
  <si>
    <t xml:space="preserve">SaaS &amp; tooling (% of net revenue)</t>
  </si>
  <si>
    <t xml:space="preserve">RevenueCat, email, monitoring</t>
  </si>
  <si>
    <t xml:space="preserve">Paid marketing / yr (optional)</t>
  </si>
  <si>
    <t xml:space="preserve">$0 = organic only</t>
  </si>
  <si>
    <t xml:space="preserve">INPUTS  —  TEAM TEST</t>
  </si>
  <si>
    <t xml:space="preserve">Your target founder salary / yr</t>
  </si>
  <si>
    <t xml:space="preserve">Loaded cost per employee / yr</t>
  </si>
  <si>
    <t xml:space="preserve">salary + tax + tools</t>
  </si>
  <si>
    <t xml:space="preserve">RESULTS</t>
  </si>
  <si>
    <t xml:space="preserve">Active users</t>
  </si>
  <si>
    <t xml:space="preserve">Paying subscribers</t>
  </si>
  <si>
    <t xml:space="preserve">Gross revenue</t>
  </si>
  <si>
    <t xml:space="preserve">  less app store fees</t>
  </si>
  <si>
    <t xml:space="preserve">Net revenue</t>
  </si>
  <si>
    <t xml:space="preserve">AI / LLM + voice costs</t>
  </si>
  <si>
    <t xml:space="preserve">Infra &amp; hosting</t>
  </si>
  <si>
    <t xml:space="preserve">SaaS &amp; tooling</t>
  </si>
  <si>
    <t xml:space="preserve">Paid marketing</t>
  </si>
  <si>
    <t xml:space="preserve">Total operating costs</t>
  </si>
  <si>
    <t xml:space="preserve">Contribution (before your salary)</t>
  </si>
  <si>
    <t xml:space="preserve">  less your salary</t>
  </si>
  <si>
    <t xml:space="preserve">Profit after paying yourself</t>
  </si>
  <si>
    <t xml:space="preserve">Employees you can afford (beyond you)</t>
  </si>
  <si>
    <t xml:space="preserve">at 20k: basically zero</t>
  </si>
  <si>
    <t xml:space="preserve">Net margin</t>
  </si>
  <si>
    <t xml:space="preserve">SCENARIOS AT 20,000 USERS</t>
  </si>
  <si>
    <t xml:space="preserve">Conservative</t>
  </si>
  <si>
    <t xml:space="preserve">Likely</t>
  </si>
  <si>
    <t xml:space="preserve">Strong</t>
  </si>
  <si>
    <t xml:space="preserve">Paid conversion</t>
  </si>
  <si>
    <t xml:space="preserve">Gross rev / paying user / yr</t>
  </si>
  <si>
    <t xml:space="preserve">Net revenue (after store)</t>
  </si>
  <si>
    <t xml:space="preserve">Profit before salary</t>
  </si>
  <si>
    <t xml:space="preserve">When does a team become affordable?</t>
  </si>
  <si>
    <t xml:space="preserve">Likely assumptions held constant (5% paid, $110 ARPU, 15% store). Only user count changes.</t>
  </si>
  <si>
    <t xml:space="preserve">Users →</t>
  </si>
  <si>
    <t xml:space="preserve">Paying subscribers (5%)</t>
  </si>
  <si>
    <t xml:space="preserve">Net revenue (after 15%)</t>
  </si>
  <si>
    <t xml:space="preserve">Operating costs</t>
  </si>
  <si>
    <t xml:space="preserve">Contribution before salary</t>
  </si>
  <si>
    <t xml:space="preserve">After founder salary ($80k)</t>
  </si>
  <si>
    <t xml:space="preserve">Employees affordable ($150k each)</t>
  </si>
  <si>
    <t xml:space="preserve">Takeaway: ~20k users ≈ your salary. A real team (3-5 people) needs ~$1M+ revenue ≈ 150-200k users.</t>
  </si>
  <si>
    <t xml:space="preserve">Pricing model comparison — paywall vs. trial vs. freemium</t>
  </si>
  <si>
    <t xml:space="preserve">Same top-of-funnel reach. Shows how each converts and what free users cost in AI. Excludes infra/salary to isolate the model.</t>
  </si>
  <si>
    <t xml:space="preserve">SHARED ASSUMPTIONS</t>
  </si>
  <si>
    <t xml:space="preserve">Annual reach (people who try it)</t>
  </si>
  <si>
    <t xml:space="preserve">hold constant across models</t>
  </si>
  <si>
    <t xml:space="preserve">AI + voice cost per active user / yr</t>
  </si>
  <si>
    <t xml:space="preserve">the free-user drag</t>
  </si>
  <si>
    <t xml:space="preserve">MODEL INPUTS</t>
  </si>
  <si>
    <t xml:space="preserve">Hard paywall</t>
  </si>
  <si>
    <t xml:space="preserve">Free trial</t>
  </si>
  <si>
    <t xml:space="preserve">Freemium</t>
  </si>
  <si>
    <t xml:space="preserve">Reach multiplier (word of mouth)</t>
  </si>
  <si>
    <t xml:space="preserve">Install → paid conversion</t>
  </si>
  <si>
    <t xml:space="preserve">Non-paying actives (% of reach)</t>
  </si>
  <si>
    <t xml:space="preserve">AI cost duration for non-payers (yr share)</t>
  </si>
  <si>
    <t xml:space="preserve">(paywall: none free · trial: ~1 month · freemium: all year)</t>
  </si>
  <si>
    <t xml:space="preserve">Effective reach</t>
  </si>
  <si>
    <t xml:space="preserve">  AI cost — paying users</t>
  </si>
  <si>
    <t xml:space="preserve">  AI cost — free / trial users</t>
  </si>
  <si>
    <t xml:space="preserve">Total AI cost</t>
  </si>
  <si>
    <t xml:space="preserve">Contribution (excl. infra &amp; salary)</t>
  </si>
  <si>
    <t xml:space="preserve">AI cost as % of net revenue</t>
  </si>
  <si>
    <t xml:space="preserve">Read it: paywall converts best per install but starves reach &amp; referrals; freemium reaches most</t>
  </si>
  <si>
    <t xml:space="preserve">but its all-year free-user AI cost can swallow the profit; trial captures the aha then stops the</t>
  </si>
  <si>
    <t xml:space="preserve">meter on non-payers. Change the blue cells — push freemium's free-active % up and watch it bleed.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</si>
</sst>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\$#,##0;&quot;($&quot;#,##0\);\-"/>
    <numFmt numFmtId="168" formatCode="\$#,##0.00"/>
    <numFmt numFmtId="169" formatCode="0.0"/>
    <numFmt numFmtId="170" formatCode="\$#,##0;&quot;($&quot;#,##0\);\-"/>
    <numFmt numFmtId="171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815"/>
      <name val="Arial"/>
      <family val="0"/>
      <charset val="1"/>
    </font>
    <font>
      <i val="true"/>
      <sz val="9"/>
      <color rgb="FF6B65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4592A"/>
        <bgColor rgb="FF993300"/>
      </patternFill>
    </fill>
    <fill>
      <patternFill patternType="solid">
        <fgColor rgb="FFFFF6E5"/>
        <bgColor rgb="FFF1EFE8"/>
      </patternFill>
    </fill>
    <fill>
      <patternFill patternType="solid">
        <fgColor rgb="FFF1EFE8"/>
        <bgColor rgb="FFE3F0E6"/>
      </patternFill>
    </fill>
    <fill>
      <patternFill patternType="solid">
        <fgColor rgb="FFE3F0E6"/>
        <bgColor rgb="FFF1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F"/>
      </left>
      <right style="thin">
        <color rgb="FFD9D5CF"/>
      </right>
      <top style="thin">
        <color rgb="FFD9D5CF"/>
      </top>
      <bottom style="thin">
        <color rgb="FFD9D5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5"/>
      <rgbColor rgb="FFE3F0E6"/>
      <rgbColor rgb="FF660066"/>
      <rgbColor rgb="FFFF8080"/>
      <rgbColor rgb="FF0066CC"/>
      <rgbColor rgb="FFD9D5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4592A"/>
      <rgbColor rgb="FF6B6560"/>
      <rgbColor rgb="FF969696"/>
      <rgbColor rgb="FF003366"/>
      <rgbColor rgb="FF339966"/>
      <rgbColor rgb="FF003300"/>
      <rgbColor rgb="FF1A1815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15"/>
    <col collapsed="false" customWidth="true" hidden="false" outlineLevel="0" max="6" min="6" style="1" width="3"/>
  </cols>
  <sheetData>
    <row r="2" customFormat="false" ht="15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/>
      <c r="D5" s="5"/>
      <c r="E5" s="5"/>
    </row>
    <row r="6" customFormat="false" ht="15" hidden="false" customHeight="true" outlineLevel="0" collapsed="false">
      <c r="B6" s="6" t="s">
        <v>3</v>
      </c>
      <c r="C6" s="7" t="n">
        <v>20000</v>
      </c>
    </row>
    <row r="7" customFormat="false" ht="15" hidden="false" customHeight="true" outlineLevel="0" collapsed="false">
      <c r="B7" s="6" t="s">
        <v>4</v>
      </c>
      <c r="C7" s="8" t="n">
        <v>0.3</v>
      </c>
      <c r="D7" s="3" t="s">
        <v>5</v>
      </c>
    </row>
    <row r="8" customFormat="false" ht="15" hidden="false" customHeight="true" outlineLevel="0" collapsed="false">
      <c r="B8" s="6" t="s">
        <v>6</v>
      </c>
      <c r="C8" s="8" t="n">
        <v>0.05</v>
      </c>
      <c r="D8" s="3" t="s">
        <v>7</v>
      </c>
    </row>
    <row r="9" customFormat="false" ht="15" hidden="false" customHeight="true" outlineLevel="0" collapsed="false">
      <c r="B9" s="6" t="s">
        <v>8</v>
      </c>
      <c r="C9" s="9" t="n">
        <v>110</v>
      </c>
      <c r="D9" s="3" t="s">
        <v>9</v>
      </c>
    </row>
    <row r="10" customFormat="false" ht="15" hidden="false" customHeight="true" outlineLevel="0" collapsed="false">
      <c r="B10" s="6" t="s">
        <v>10</v>
      </c>
      <c r="C10" s="8" t="n">
        <v>0.15</v>
      </c>
      <c r="D10" s="3" t="s">
        <v>11</v>
      </c>
    </row>
    <row r="12" customFormat="false" ht="15" hidden="false" customHeight="true" outlineLevel="0" collapsed="false">
      <c r="B12" s="4" t="s">
        <v>12</v>
      </c>
      <c r="C12" s="5"/>
      <c r="D12" s="5"/>
      <c r="E12" s="5"/>
    </row>
    <row r="13" customFormat="false" ht="15" hidden="false" customHeight="true" outlineLevel="0" collapsed="false">
      <c r="B13" s="6" t="s">
        <v>13</v>
      </c>
      <c r="C13" s="10" t="n">
        <v>6</v>
      </c>
      <c r="D13" s="3" t="s">
        <v>14</v>
      </c>
    </row>
    <row r="14" customFormat="false" ht="15" hidden="false" customHeight="true" outlineLevel="0" collapsed="false">
      <c r="B14" s="6" t="s">
        <v>15</v>
      </c>
      <c r="C14" s="9" t="n">
        <v>4000</v>
      </c>
      <c r="D14" s="3" t="s">
        <v>16</v>
      </c>
    </row>
    <row r="15" customFormat="false" ht="15" hidden="false" customHeight="true" outlineLevel="0" collapsed="false">
      <c r="B15" s="6" t="s">
        <v>17</v>
      </c>
      <c r="C15" s="8" t="n">
        <v>0.03</v>
      </c>
      <c r="D15" s="3" t="s">
        <v>18</v>
      </c>
    </row>
    <row r="16" customFormat="false" ht="15" hidden="false" customHeight="true" outlineLevel="0" collapsed="false">
      <c r="B16" s="6" t="s">
        <v>19</v>
      </c>
      <c r="C16" s="9" t="n">
        <v>0</v>
      </c>
      <c r="D16" s="3" t="s">
        <v>20</v>
      </c>
    </row>
    <row r="18" customFormat="false" ht="15" hidden="false" customHeight="true" outlineLevel="0" collapsed="false">
      <c r="B18" s="4" t="s">
        <v>21</v>
      </c>
      <c r="C18" s="5"/>
      <c r="D18" s="5"/>
      <c r="E18" s="5"/>
    </row>
    <row r="19" customFormat="false" ht="15" hidden="false" customHeight="true" outlineLevel="0" collapsed="false">
      <c r="B19" s="6" t="s">
        <v>22</v>
      </c>
      <c r="C19" s="9" t="n">
        <v>80000</v>
      </c>
    </row>
    <row r="20" customFormat="false" ht="15" hidden="false" customHeight="true" outlineLevel="0" collapsed="false">
      <c r="B20" s="6" t="s">
        <v>23</v>
      </c>
      <c r="C20" s="9" t="n">
        <v>150000</v>
      </c>
      <c r="D20" s="3" t="s">
        <v>24</v>
      </c>
    </row>
    <row r="22" customFormat="false" ht="15" hidden="false" customHeight="true" outlineLevel="0" collapsed="false">
      <c r="B22" s="4" t="s">
        <v>25</v>
      </c>
      <c r="C22" s="5"/>
      <c r="D22" s="5"/>
      <c r="E22" s="5"/>
    </row>
    <row r="23" customFormat="false" ht="15" hidden="false" customHeight="true" outlineLevel="0" collapsed="false">
      <c r="B23" s="6" t="s">
        <v>26</v>
      </c>
      <c r="C23" s="11" t="n">
        <f aca="false">C6*C7</f>
        <v>6000</v>
      </c>
    </row>
    <row r="24" customFormat="false" ht="15" hidden="false" customHeight="true" outlineLevel="0" collapsed="false">
      <c r="B24" s="12" t="s">
        <v>27</v>
      </c>
      <c r="C24" s="13" t="n">
        <f aca="false">C6*C8</f>
        <v>1000</v>
      </c>
    </row>
    <row r="25" customFormat="false" ht="15" hidden="false" customHeight="true" outlineLevel="0" collapsed="false">
      <c r="B25" s="12" t="s">
        <v>28</v>
      </c>
      <c r="C25" s="14" t="n">
        <f aca="false">C24*C9</f>
        <v>110000</v>
      </c>
    </row>
    <row r="26" customFormat="false" ht="15" hidden="false" customHeight="true" outlineLevel="0" collapsed="false">
      <c r="B26" s="6" t="s">
        <v>29</v>
      </c>
      <c r="C26" s="15" t="n">
        <f aca="false">-C25*C10</f>
        <v>-16500</v>
      </c>
    </row>
    <row r="27" customFormat="false" ht="15" hidden="false" customHeight="true" outlineLevel="0" collapsed="false">
      <c r="B27" s="12" t="s">
        <v>30</v>
      </c>
      <c r="C27" s="14" t="n">
        <f aca="false">C25+C26</f>
        <v>93500</v>
      </c>
    </row>
    <row r="29" customFormat="false" ht="15" hidden="false" customHeight="true" outlineLevel="0" collapsed="false">
      <c r="B29" s="6" t="s">
        <v>31</v>
      </c>
      <c r="C29" s="15" t="n">
        <f aca="false">-C23*C13</f>
        <v>-36000</v>
      </c>
    </row>
    <row r="30" customFormat="false" ht="15" hidden="false" customHeight="true" outlineLevel="0" collapsed="false">
      <c r="B30" s="6" t="s">
        <v>32</v>
      </c>
      <c r="C30" s="15" t="n">
        <f aca="false">-C14</f>
        <v>-4000</v>
      </c>
    </row>
    <row r="31" customFormat="false" ht="15" hidden="false" customHeight="true" outlineLevel="0" collapsed="false">
      <c r="B31" s="6" t="s">
        <v>33</v>
      </c>
      <c r="C31" s="15" t="n">
        <f aca="false">-C27*C15</f>
        <v>-2805</v>
      </c>
    </row>
    <row r="32" customFormat="false" ht="15" hidden="false" customHeight="true" outlineLevel="0" collapsed="false">
      <c r="B32" s="6" t="s">
        <v>34</v>
      </c>
      <c r="C32" s="15" t="n">
        <f aca="false">-C16</f>
        <v>-0</v>
      </c>
    </row>
    <row r="33" customFormat="false" ht="15" hidden="false" customHeight="true" outlineLevel="0" collapsed="false">
      <c r="B33" s="12" t="s">
        <v>35</v>
      </c>
      <c r="C33" s="14" t="n">
        <f aca="false">SUM(C29:C32)</f>
        <v>-42805</v>
      </c>
    </row>
    <row r="35" customFormat="false" ht="15" hidden="false" customHeight="true" outlineLevel="0" collapsed="false">
      <c r="B35" s="12" t="s">
        <v>36</v>
      </c>
      <c r="C35" s="14" t="n">
        <f aca="false">C27+C33</f>
        <v>50695</v>
      </c>
    </row>
    <row r="36" customFormat="false" ht="15" hidden="false" customHeight="true" outlineLevel="0" collapsed="false">
      <c r="B36" s="6" t="s">
        <v>37</v>
      </c>
      <c r="C36" s="15" t="n">
        <f aca="false">-C19</f>
        <v>-80000</v>
      </c>
    </row>
    <row r="37" customFormat="false" ht="15" hidden="false" customHeight="true" outlineLevel="0" collapsed="false">
      <c r="B37" s="12" t="s">
        <v>38</v>
      </c>
      <c r="C37" s="14" t="n">
        <f aca="false">C35+C36</f>
        <v>-29305</v>
      </c>
    </row>
    <row r="39" customFormat="false" ht="15" hidden="false" customHeight="true" outlineLevel="0" collapsed="false">
      <c r="B39" s="12" t="s">
        <v>39</v>
      </c>
      <c r="C39" s="16" t="n">
        <f aca="false">MAX(0,C37/C20)</f>
        <v>0</v>
      </c>
      <c r="D39" s="3" t="s">
        <v>40</v>
      </c>
    </row>
    <row r="40" customFormat="false" ht="15" hidden="false" customHeight="true" outlineLevel="0" collapsed="false">
      <c r="B40" s="6" t="s">
        <v>41</v>
      </c>
      <c r="C40" s="17" t="n">
        <f aca="false">C37/C27</f>
        <v>-0.313422459893048</v>
      </c>
    </row>
    <row r="43" customFormat="false" ht="15" hidden="false" customHeight="true" outlineLevel="0" collapsed="false">
      <c r="B43" s="4" t="s">
        <v>42</v>
      </c>
      <c r="C43" s="5"/>
      <c r="D43" s="5"/>
      <c r="E43" s="5"/>
    </row>
    <row r="44" customFormat="false" ht="15" hidden="false" customHeight="true" outlineLevel="0" collapsed="false">
      <c r="C44" s="18" t="s">
        <v>43</v>
      </c>
      <c r="D44" s="18" t="s">
        <v>44</v>
      </c>
      <c r="E44" s="18" t="s">
        <v>45</v>
      </c>
    </row>
    <row r="45" customFormat="false" ht="15" hidden="false" customHeight="true" outlineLevel="0" collapsed="false">
      <c r="B45" s="6" t="s">
        <v>46</v>
      </c>
      <c r="C45" s="8" t="n">
        <v>0.03</v>
      </c>
      <c r="D45" s="8" t="n">
        <v>0.05</v>
      </c>
      <c r="E45" s="8" t="n">
        <v>0.08</v>
      </c>
    </row>
    <row r="46" customFormat="false" ht="15" hidden="false" customHeight="true" outlineLevel="0" collapsed="false">
      <c r="B46" s="6" t="s">
        <v>47</v>
      </c>
      <c r="C46" s="9" t="n">
        <v>100</v>
      </c>
      <c r="D46" s="9" t="n">
        <v>110</v>
      </c>
      <c r="E46" s="9" t="n">
        <v>130</v>
      </c>
    </row>
    <row r="47" customFormat="false" ht="15" hidden="false" customHeight="true" outlineLevel="0" collapsed="false">
      <c r="B47" s="6" t="s">
        <v>27</v>
      </c>
      <c r="C47" s="11" t="n">
        <f aca="false">$C$6*C45</f>
        <v>600</v>
      </c>
      <c r="D47" s="11" t="n">
        <f aca="false">$C$6*D45</f>
        <v>1000</v>
      </c>
      <c r="E47" s="11" t="n">
        <f aca="false">$C$6*E45</f>
        <v>1600</v>
      </c>
    </row>
    <row r="48" customFormat="false" ht="15" hidden="false" customHeight="true" outlineLevel="0" collapsed="false">
      <c r="B48" s="6" t="s">
        <v>28</v>
      </c>
      <c r="C48" s="15" t="n">
        <f aca="false">C47*C46</f>
        <v>60000</v>
      </c>
      <c r="D48" s="15" t="n">
        <f aca="false">D47*D46</f>
        <v>110000</v>
      </c>
      <c r="E48" s="15" t="n">
        <f aca="false">E47*E46</f>
        <v>208000</v>
      </c>
    </row>
    <row r="49" customFormat="false" ht="15" hidden="false" customHeight="true" outlineLevel="0" collapsed="false">
      <c r="B49" s="6" t="s">
        <v>48</v>
      </c>
      <c r="C49" s="15" t="n">
        <f aca="false">C48*(1-$C$10)</f>
        <v>51000</v>
      </c>
      <c r="D49" s="15" t="n">
        <f aca="false">D48*(1-$C$10)</f>
        <v>93500</v>
      </c>
      <c r="E49" s="15" t="n">
        <f aca="false">E48*(1-$C$10)</f>
        <v>176800</v>
      </c>
    </row>
    <row r="50" customFormat="false" ht="15" hidden="false" customHeight="true" outlineLevel="0" collapsed="false">
      <c r="B50" s="6" t="s">
        <v>35</v>
      </c>
      <c r="C50" s="15" t="n">
        <f aca="false">($C$6*$C$7*$C$13)+$C$14+(C49*$C$15)+$C$16</f>
        <v>41530</v>
      </c>
      <c r="D50" s="15" t="n">
        <f aca="false">($C$6*$C$7*$C$13)+$C$14+(D49*$C$15)+$C$16</f>
        <v>42805</v>
      </c>
      <c r="E50" s="15" t="n">
        <f aca="false">($C$6*$C$7*$C$13)+$C$14+(E49*$C$15)+$C$16</f>
        <v>45304</v>
      </c>
    </row>
    <row r="51" customFormat="false" ht="15" hidden="false" customHeight="true" outlineLevel="0" collapsed="false">
      <c r="B51" s="6" t="s">
        <v>49</v>
      </c>
      <c r="C51" s="14" t="n">
        <f aca="false">C49-C50</f>
        <v>9470</v>
      </c>
      <c r="D51" s="14" t="n">
        <f aca="false">D49-D50</f>
        <v>50695</v>
      </c>
      <c r="E51" s="14" t="n">
        <f aca="false">E49-E50</f>
        <v>131496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5.75" hidden="false" customHeight="true" outlineLevel="0" collapsed="false">
      <c r="B2" s="2" t="s">
        <v>50</v>
      </c>
    </row>
    <row r="3" customFormat="false" ht="15" hidden="false" customHeight="true" outlineLevel="0" collapsed="false">
      <c r="B3" s="3" t="s">
        <v>51</v>
      </c>
    </row>
    <row r="5" customFormat="false" ht="15" hidden="false" customHeight="true" outlineLevel="0" collapsed="false">
      <c r="B5" s="4" t="s">
        <v>52</v>
      </c>
      <c r="C5" s="19" t="n">
        <v>20000</v>
      </c>
      <c r="D5" s="19" t="n">
        <v>50000</v>
      </c>
      <c r="E5" s="19" t="n">
        <v>100000</v>
      </c>
      <c r="F5" s="19" t="n">
        <v>200000</v>
      </c>
    </row>
    <row r="6" customFormat="false" ht="15" hidden="false" customHeight="true" outlineLevel="0" collapsed="false">
      <c r="B6" s="6" t="s">
        <v>53</v>
      </c>
      <c r="C6" s="11" t="n">
        <f aca="false">C5*0.05</f>
        <v>1000</v>
      </c>
      <c r="D6" s="11" t="n">
        <f aca="false">D5*0.05</f>
        <v>2500</v>
      </c>
      <c r="E6" s="11" t="n">
        <f aca="false">E5*0.05</f>
        <v>5000</v>
      </c>
      <c r="F6" s="11" t="n">
        <f aca="false">F5*0.05</f>
        <v>10000</v>
      </c>
    </row>
    <row r="7" customFormat="false" ht="15" hidden="false" customHeight="true" outlineLevel="0" collapsed="false">
      <c r="B7" s="6" t="s">
        <v>28</v>
      </c>
      <c r="C7" s="15" t="n">
        <f aca="false">C6*110</f>
        <v>110000</v>
      </c>
      <c r="D7" s="15" t="n">
        <f aca="false">D6*110</f>
        <v>275000</v>
      </c>
      <c r="E7" s="15" t="n">
        <f aca="false">E6*110</f>
        <v>550000</v>
      </c>
      <c r="F7" s="15" t="n">
        <f aca="false">F6*110</f>
        <v>1100000</v>
      </c>
    </row>
    <row r="8" customFormat="false" ht="15" hidden="false" customHeight="true" outlineLevel="0" collapsed="false">
      <c r="B8" s="12" t="s">
        <v>54</v>
      </c>
      <c r="C8" s="14" t="n">
        <f aca="false">C7*0.85</f>
        <v>93500</v>
      </c>
      <c r="D8" s="14" t="n">
        <f aca="false">D7*0.85</f>
        <v>233750</v>
      </c>
      <c r="E8" s="14" t="n">
        <f aca="false">E7*0.85</f>
        <v>467500</v>
      </c>
      <c r="F8" s="14" t="n">
        <f aca="false">F7*0.85</f>
        <v>935000</v>
      </c>
    </row>
    <row r="9" customFormat="false" ht="15" hidden="false" customHeight="true" outlineLevel="0" collapsed="false">
      <c r="B9" s="6" t="s">
        <v>55</v>
      </c>
      <c r="C9" s="15" t="n">
        <f aca="false">(C5*0.3*6)+4000+(C8*0.03)</f>
        <v>42805</v>
      </c>
      <c r="D9" s="15" t="n">
        <f aca="false">(D5*0.3*6)+4000+(D8*0.03)</f>
        <v>101012.5</v>
      </c>
      <c r="E9" s="15" t="n">
        <f aca="false">(E5*0.3*6)+4000+(E8*0.03)</f>
        <v>198025</v>
      </c>
      <c r="F9" s="15" t="n">
        <f aca="false">(F5*0.3*6)+4000+(F8*0.03)</f>
        <v>392050</v>
      </c>
    </row>
    <row r="10" customFormat="false" ht="15" hidden="false" customHeight="true" outlineLevel="0" collapsed="false">
      <c r="B10" s="12" t="s">
        <v>56</v>
      </c>
      <c r="C10" s="14" t="n">
        <f aca="false">C8-C9</f>
        <v>50695</v>
      </c>
      <c r="D10" s="14" t="n">
        <f aca="false">D8-D9</f>
        <v>132737.5</v>
      </c>
      <c r="E10" s="14" t="n">
        <f aca="false">E8-E9</f>
        <v>269475</v>
      </c>
      <c r="F10" s="14" t="n">
        <f aca="false">F8-F9</f>
        <v>542950</v>
      </c>
    </row>
    <row r="11" customFormat="false" ht="15" hidden="false" customHeight="true" outlineLevel="0" collapsed="false">
      <c r="B11" s="6" t="s">
        <v>57</v>
      </c>
      <c r="C11" s="15" t="n">
        <f aca="false">C10-80000</f>
        <v>-29305</v>
      </c>
      <c r="D11" s="15" t="n">
        <f aca="false">D10-80000</f>
        <v>52737.5</v>
      </c>
      <c r="E11" s="15" t="n">
        <f aca="false">E10-80000</f>
        <v>189475</v>
      </c>
      <c r="F11" s="15" t="n">
        <f aca="false">F10-80000</f>
        <v>462950</v>
      </c>
    </row>
    <row r="12" customFormat="false" ht="15" hidden="false" customHeight="true" outlineLevel="0" collapsed="false">
      <c r="B12" s="12" t="s">
        <v>58</v>
      </c>
      <c r="C12" s="16" t="n">
        <f aca="false">MAX(0,C11/150000)</f>
        <v>0</v>
      </c>
      <c r="D12" s="16" t="n">
        <f aca="false">MAX(0,D11/150000)</f>
        <v>0.351583333333333</v>
      </c>
      <c r="E12" s="16" t="n">
        <f aca="false">MAX(0,E11/150000)</f>
        <v>1.26316666666667</v>
      </c>
      <c r="F12" s="16" t="n">
        <f aca="false">MAX(0,F11/150000)</f>
        <v>3.08633333333333</v>
      </c>
    </row>
    <row r="14" customFormat="false" ht="15" hidden="false" customHeight="true" outlineLevel="0" collapsed="false">
      <c r="B14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5"/>
    <col collapsed="false" customWidth="true" hidden="false" outlineLevel="0" max="6" min="6" style="0" width="3"/>
  </cols>
  <sheetData>
    <row r="2" customFormat="false" ht="16.15" hidden="false" customHeight="false" outlineLevel="0" collapsed="false">
      <c r="B2" s="20" t="s">
        <v>60</v>
      </c>
    </row>
    <row r="3" customFormat="false" ht="15" hidden="false" customHeight="false" outlineLevel="0" collapsed="false">
      <c r="B3" s="21" t="s">
        <v>61</v>
      </c>
    </row>
    <row r="5" customFormat="false" ht="15" hidden="false" customHeight="false" outlineLevel="0" collapsed="false">
      <c r="B5" s="22" t="s">
        <v>62</v>
      </c>
      <c r="C5" s="23"/>
      <c r="D5" s="23"/>
      <c r="E5" s="23"/>
    </row>
    <row r="6" customFormat="false" ht="15" hidden="false" customHeight="false" outlineLevel="0" collapsed="false">
      <c r="B6" s="24" t="s">
        <v>63</v>
      </c>
      <c r="C6" s="7" t="n">
        <v>20000</v>
      </c>
      <c r="D6" s="21" t="s">
        <v>64</v>
      </c>
    </row>
    <row r="7" customFormat="false" ht="15" hidden="false" customHeight="false" outlineLevel="0" collapsed="false">
      <c r="B7" s="24" t="s">
        <v>8</v>
      </c>
      <c r="C7" s="25" t="n">
        <v>110</v>
      </c>
    </row>
    <row r="8" customFormat="false" ht="15" hidden="false" customHeight="false" outlineLevel="0" collapsed="false">
      <c r="B8" s="24" t="s">
        <v>10</v>
      </c>
      <c r="C8" s="8" t="n">
        <v>0.15</v>
      </c>
    </row>
    <row r="9" customFormat="false" ht="15" hidden="false" customHeight="false" outlineLevel="0" collapsed="false">
      <c r="B9" s="24" t="s">
        <v>65</v>
      </c>
      <c r="C9" s="25" t="n">
        <v>6</v>
      </c>
      <c r="D9" s="21" t="s">
        <v>66</v>
      </c>
    </row>
    <row r="11" customFormat="false" ht="15" hidden="false" customHeight="false" outlineLevel="0" collapsed="false">
      <c r="B11" s="22" t="s">
        <v>67</v>
      </c>
      <c r="C11" s="26" t="s">
        <v>68</v>
      </c>
      <c r="D11" s="26" t="s">
        <v>69</v>
      </c>
      <c r="E11" s="26" t="s">
        <v>70</v>
      </c>
    </row>
    <row r="12" customFormat="false" ht="15" hidden="false" customHeight="false" outlineLevel="0" collapsed="false">
      <c r="B12" s="24" t="s">
        <v>71</v>
      </c>
      <c r="C12" s="27" t="n">
        <v>1</v>
      </c>
      <c r="D12" s="27" t="n">
        <v>1.6</v>
      </c>
      <c r="E12" s="27" t="n">
        <v>2.2</v>
      </c>
    </row>
    <row r="13" customFormat="false" ht="15" hidden="false" customHeight="false" outlineLevel="0" collapsed="false">
      <c r="B13" s="24" t="s">
        <v>72</v>
      </c>
      <c r="C13" s="8" t="n">
        <v>0.12</v>
      </c>
      <c r="D13" s="8" t="n">
        <v>0.09</v>
      </c>
      <c r="E13" s="8" t="n">
        <v>0.03</v>
      </c>
    </row>
    <row r="14" customFormat="false" ht="15" hidden="false" customHeight="false" outlineLevel="0" collapsed="false">
      <c r="B14" s="24" t="s">
        <v>73</v>
      </c>
      <c r="C14" s="8" t="n">
        <v>0</v>
      </c>
      <c r="D14" s="8" t="n">
        <v>0.2</v>
      </c>
      <c r="E14" s="8" t="n">
        <v>0.35</v>
      </c>
    </row>
    <row r="15" customFormat="false" ht="15" hidden="false" customHeight="false" outlineLevel="0" collapsed="false">
      <c r="B15" s="24" t="s">
        <v>74</v>
      </c>
      <c r="C15" s="8" t="n">
        <v>0</v>
      </c>
      <c r="D15" s="8" t="n">
        <v>0.08</v>
      </c>
      <c r="E15" s="8" t="n">
        <v>1</v>
      </c>
    </row>
    <row r="16" customFormat="false" ht="15" hidden="false" customHeight="false" outlineLevel="0" collapsed="false">
      <c r="B16" s="21" t="s">
        <v>75</v>
      </c>
    </row>
    <row r="18" customFormat="false" ht="15" hidden="false" customHeight="false" outlineLevel="0" collapsed="false">
      <c r="B18" s="22" t="s">
        <v>25</v>
      </c>
      <c r="C18" s="23"/>
      <c r="D18" s="23"/>
      <c r="E18" s="23"/>
    </row>
    <row r="19" customFormat="false" ht="15" hidden="false" customHeight="false" outlineLevel="0" collapsed="false">
      <c r="B19" s="24" t="s">
        <v>76</v>
      </c>
      <c r="C19" s="28" t="n">
        <f aca="false">$C$6*C12</f>
        <v>20000</v>
      </c>
      <c r="D19" s="28" t="n">
        <f aca="false">$C$6*D12</f>
        <v>32000</v>
      </c>
      <c r="E19" s="28" t="n">
        <f aca="false">$C$6*E12</f>
        <v>44000</v>
      </c>
    </row>
    <row r="20" customFormat="false" ht="15" hidden="false" customHeight="false" outlineLevel="0" collapsed="false">
      <c r="B20" s="29" t="s">
        <v>27</v>
      </c>
      <c r="C20" s="13" t="n">
        <f aca="false">C19*C13</f>
        <v>2400</v>
      </c>
      <c r="D20" s="13" t="n">
        <f aca="false">D19*D13</f>
        <v>2880</v>
      </c>
      <c r="E20" s="13" t="n">
        <f aca="false">E19*E13</f>
        <v>1320</v>
      </c>
    </row>
    <row r="21" customFormat="false" ht="15" hidden="false" customHeight="false" outlineLevel="0" collapsed="false">
      <c r="B21" s="24" t="s">
        <v>28</v>
      </c>
      <c r="C21" s="30" t="n">
        <f aca="false">C20*$C$7</f>
        <v>264000</v>
      </c>
      <c r="D21" s="30" t="n">
        <f aca="false">D20*$C$7</f>
        <v>316800</v>
      </c>
      <c r="E21" s="30" t="n">
        <f aca="false">E20*$C$7</f>
        <v>145200</v>
      </c>
    </row>
    <row r="22" customFormat="false" ht="15" hidden="false" customHeight="false" outlineLevel="0" collapsed="false">
      <c r="B22" s="29" t="s">
        <v>48</v>
      </c>
      <c r="C22" s="31" t="n">
        <f aca="false">C21*(1-$C$8)</f>
        <v>224400</v>
      </c>
      <c r="D22" s="31" t="n">
        <f aca="false">D21*(1-$C$8)</f>
        <v>269280</v>
      </c>
      <c r="E22" s="31" t="n">
        <f aca="false">E21*(1-$C$8)</f>
        <v>123420</v>
      </c>
    </row>
    <row r="23" customFormat="false" ht="15" hidden="false" customHeight="false" outlineLevel="0" collapsed="false">
      <c r="B23" s="24" t="s">
        <v>77</v>
      </c>
      <c r="C23" s="30" t="n">
        <f aca="false">-(C20*$C$9)</f>
        <v>-14400</v>
      </c>
      <c r="D23" s="30" t="n">
        <f aca="false">-(D20*$C$9)</f>
        <v>-17280</v>
      </c>
      <c r="E23" s="30" t="n">
        <f aca="false">-(E20*$C$9)</f>
        <v>-7920</v>
      </c>
    </row>
    <row r="24" customFormat="false" ht="15" hidden="false" customHeight="false" outlineLevel="0" collapsed="false">
      <c r="B24" s="24" t="s">
        <v>78</v>
      </c>
      <c r="C24" s="30" t="n">
        <f aca="false">-(C19*C14*$C$9*C15)</f>
        <v>-0</v>
      </c>
      <c r="D24" s="30" t="n">
        <f aca="false">-(D19*D14*$C$9*D15)</f>
        <v>-3072</v>
      </c>
      <c r="E24" s="30" t="n">
        <f aca="false">-(E19*E14*$C$9*E15)</f>
        <v>-92400</v>
      </c>
    </row>
    <row r="25" customFormat="false" ht="15" hidden="false" customHeight="false" outlineLevel="0" collapsed="false">
      <c r="B25" s="29" t="s">
        <v>79</v>
      </c>
      <c r="C25" s="31" t="n">
        <f aca="false">C23+C24</f>
        <v>-14400</v>
      </c>
      <c r="D25" s="31" t="n">
        <f aca="false">D23+D24</f>
        <v>-20352</v>
      </c>
      <c r="E25" s="31" t="n">
        <f aca="false">E23+E24</f>
        <v>-100320</v>
      </c>
    </row>
    <row r="26" customFormat="false" ht="15" hidden="false" customHeight="false" outlineLevel="0" collapsed="false">
      <c r="B26" s="29" t="s">
        <v>80</v>
      </c>
      <c r="C26" s="32" t="n">
        <f aca="false">C22+C25</f>
        <v>210000</v>
      </c>
      <c r="D26" s="32" t="n">
        <f aca="false">D22+D25</f>
        <v>248928</v>
      </c>
      <c r="E26" s="32" t="n">
        <f aca="false">E22+E25</f>
        <v>23100</v>
      </c>
    </row>
    <row r="27" customFormat="false" ht="15" hidden="false" customHeight="false" outlineLevel="0" collapsed="false">
      <c r="B27" s="24" t="s">
        <v>81</v>
      </c>
      <c r="C27" s="33" t="n">
        <f aca="false">-C25/C22</f>
        <v>0.0641711229946524</v>
      </c>
      <c r="D27" s="33" t="n">
        <f aca="false">-D25/D22</f>
        <v>0.0755793226381462</v>
      </c>
      <c r="E27" s="33" t="n">
        <f aca="false">-E25/E22</f>
        <v>0.81283422459893</v>
      </c>
    </row>
    <row r="29" customFormat="false" ht="15" hidden="false" customHeight="false" outlineLevel="0" collapsed="false">
      <c r="B29" s="21" t="s">
        <v>82</v>
      </c>
    </row>
    <row r="30" customFormat="false" ht="15" hidden="false" customHeight="false" outlineLevel="0" collapsed="false">
      <c r="B30" s="21" t="s">
        <v>83</v>
      </c>
    </row>
    <row r="31" customFormat="false" ht="15" hidden="false" customHeight="false" outlineLevel="0" collapsed="false">
      <c r="B31" s="21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2026-06-25T05:12:35Z</dcterms:created>
  <dc:creator>openpyxl</dc:creator>
  <dc:description/>
  <dc:language>en-US</dc:language>
  <cp:lastModifiedBy/>
  <dcterms:modified xsi:type="dcterms:W3CDTF">2026-06-25T05:17:46Z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